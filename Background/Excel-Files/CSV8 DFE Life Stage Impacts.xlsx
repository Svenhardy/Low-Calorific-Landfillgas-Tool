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Dual Fuel/"/>
    </mc:Choice>
  </mc:AlternateContent>
  <xr:revisionPtr revIDLastSave="0" documentId="13_ncr:1_{1CC30943-6350-1641-B2F8-94397F016482}" xr6:coauthVersionLast="47" xr6:coauthVersionMax="47" xr10:uidLastSave="{00000000-0000-0000-0000-000000000000}"/>
  <bookViews>
    <workbookView xWindow="680" yWindow="1000" windowWidth="27840" windowHeight="16040" xr2:uid="{348809A8-A16A-C045-BA24-185F41677A0C}"/>
  </bookViews>
  <sheets>
    <sheet name="CSV8 Life Stage Imp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<sst xmlns="http://schemas.openxmlformats.org/spreadsheetml/2006/main" count="44" uniqueCount="39">
  <si>
    <t>Impact Category</t>
  </si>
  <si>
    <t xml:space="preserve">Fine particulate matter formation </t>
  </si>
  <si>
    <t xml:space="preserve">Fossil resource scarcity </t>
  </si>
  <si>
    <t>Freshwater ecotoxicity</t>
  </si>
  <si>
    <t xml:space="preserve">Freshwater eutrophication </t>
  </si>
  <si>
    <t>Global warming</t>
  </si>
  <si>
    <t xml:space="preserve">Human carcinogenic toxicity </t>
  </si>
  <si>
    <t>Human non-carcinogenic toxicity -</t>
  </si>
  <si>
    <t xml:space="preserve">Ionizing radiation </t>
  </si>
  <si>
    <t xml:space="preserve">Land use </t>
  </si>
  <si>
    <t xml:space="preserve">Marine ecotoxicity </t>
  </si>
  <si>
    <t xml:space="preserve">Marine eutrophication </t>
  </si>
  <si>
    <t xml:space="preserve">Mineral resource scarcity </t>
  </si>
  <si>
    <t xml:space="preserve">Ozone formation, Human health </t>
  </si>
  <si>
    <t xml:space="preserve">Ozone formation, Terrestrial ecosystems </t>
  </si>
  <si>
    <t xml:space="preserve">Stratospheric ozone depletion </t>
  </si>
  <si>
    <t xml:space="preserve">Terrestrial acidification </t>
  </si>
  <si>
    <t xml:space="preserve">Terrestrial ecotoxicity </t>
  </si>
  <si>
    <t xml:space="preserve">Water consumption </t>
  </si>
  <si>
    <t>Unit</t>
  </si>
  <si>
    <t>kg PM2.5 eq</t>
  </si>
  <si>
    <t>kg oil eq</t>
  </si>
  <si>
    <t>kg 1,4-DCB</t>
  </si>
  <si>
    <t>kg P eq</t>
  </si>
  <si>
    <t>kg CO2 eq</t>
  </si>
  <si>
    <t>kBq Co-60 eq</t>
  </si>
  <si>
    <t>m2a crop eq</t>
  </si>
  <si>
    <t>kg N eq</t>
  </si>
  <si>
    <t>kg Cu eq</t>
  </si>
  <si>
    <t>kg NOx eq</t>
  </si>
  <si>
    <t>kg CFC11 eq</t>
  </si>
  <si>
    <t>kg SO2 eq</t>
  </si>
  <si>
    <t>m3</t>
  </si>
  <si>
    <t>Engine Production [1 Unit]</t>
  </si>
  <si>
    <t>Diesel Production [1L]</t>
  </si>
  <si>
    <t>Pilot Fuel Production [1L]</t>
  </si>
  <si>
    <t>Oil Production [1L oil]</t>
  </si>
  <si>
    <t>Coolant Production [1 Liter]</t>
  </si>
  <si>
    <t>Maintenance [1 year of maintenance]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</si>
</sst>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8ED6-4267-E745-8487-FFDE1F42FD5B}">
  <dimension ref="A1:S8"/>
  <sheetViews>
    <sheetView tabSelected="1" workbookViewId="0">
      <selection activeCell="B6" sqref="B6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22</v>
      </c>
      <c r="H2" s="1" t="s">
        <v>22</v>
      </c>
      <c r="I2" s="1" t="s">
        <v>25</v>
      </c>
      <c r="J2" s="1" t="s">
        <v>26</v>
      </c>
      <c r="K2" s="1" t="s">
        <v>22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30</v>
      </c>
      <c r="Q2" s="1" t="s">
        <v>31</v>
      </c>
      <c r="R2" s="1" t="s">
        <v>22</v>
      </c>
      <c r="S2" s="1" t="s">
        <v>32</v>
      </c>
    </row>
    <row r="3" spans="1:19" x14ac:dyDescent="0.2">
      <c r="A3" s="1" t="s">
        <v>33</v>
      </c>
      <c r="B3">
        <v>4.9578236501276045</v>
      </c>
      <c r="C3">
        <v>496.01617985340243</v>
      </c>
      <c r="D3">
        <v>364.70308443972311</v>
      </c>
      <c r="E3">
        <v>0.72452359725107396</v>
      </c>
      <c r="F3">
        <v>2327.1384983101384</v>
      </c>
      <c r="G3">
        <v>11649.481909604521</v>
      </c>
      <c r="H3">
        <v>2178.9500365888935</v>
      </c>
      <c r="I3">
        <v>124.22070717523438</v>
      </c>
      <c r="J3">
        <v>61.1090666592454</v>
      </c>
      <c r="K3">
        <v>718.43475483896555</v>
      </c>
      <c r="L3">
        <v>0.11166077582531986</v>
      </c>
      <c r="M3">
        <v>1.1529279601695079</v>
      </c>
      <c r="N3">
        <v>5.1357414072775942</v>
      </c>
      <c r="O3">
        <v>5.3122837456029615</v>
      </c>
      <c r="P3">
        <v>5.2151598927717814E-4</v>
      </c>
      <c r="Q3">
        <v>6.9525002607885034</v>
      </c>
      <c r="R3">
        <v>217008.86889500768</v>
      </c>
      <c r="S3">
        <v>21289.129487340044</v>
      </c>
    </row>
    <row r="4" spans="1:19" x14ac:dyDescent="0.2">
      <c r="A4" s="1" t="s">
        <v>34</v>
      </c>
      <c r="B4">
        <v>7.4972557735669503E-4</v>
      </c>
      <c r="C4">
        <v>1.0041740752673309</v>
      </c>
      <c r="D4">
        <v>7.5665559667094295E-3</v>
      </c>
      <c r="E4">
        <v>4.3915425601170851E-5</v>
      </c>
      <c r="F4">
        <v>0.84309765069054465</v>
      </c>
      <c r="G4">
        <v>0.11299100053173734</v>
      </c>
      <c r="H4">
        <v>0.10191279475248768</v>
      </c>
      <c r="I4">
        <v>1.7455398379020014E-2</v>
      </c>
      <c r="J4">
        <v>7.693882235543157E-3</v>
      </c>
      <c r="K4">
        <v>1.8809022888782664E-2</v>
      </c>
      <c r="L4">
        <v>2.8369049970269383E-5</v>
      </c>
      <c r="M4">
        <v>1.4294850456601253E-4</v>
      </c>
      <c r="N4">
        <v>2.18060775353852E-3</v>
      </c>
      <c r="O4">
        <v>2.8021638500299786E-3</v>
      </c>
      <c r="P4">
        <v>1.9620752840705337E-7</v>
      </c>
      <c r="Q4">
        <v>2.0242223958787018E-3</v>
      </c>
      <c r="R4">
        <v>7.7727752065389959</v>
      </c>
      <c r="S4">
        <v>0.6603530480061951</v>
      </c>
    </row>
    <row r="5" spans="1:19" x14ac:dyDescent="0.2">
      <c r="A5" s="1" t="s">
        <v>35</v>
      </c>
      <c r="B5">
        <f>B4*1.2</f>
        <v>8.9967069282803397E-4</v>
      </c>
      <c r="C5">
        <f t="shared" ref="C5:S5" si="0">C4*1.2</f>
        <v>1.2050088903207972</v>
      </c>
      <c r="D5">
        <f t="shared" si="0"/>
        <v>9.0798671600513144E-3</v>
      </c>
      <c r="E5">
        <f t="shared" si="0"/>
        <v>5.2698510721405023E-5</v>
      </c>
      <c r="F5">
        <f t="shared" si="0"/>
        <v>1.0117171808286536</v>
      </c>
      <c r="G5">
        <f t="shared" si="0"/>
        <v>0.1355892006380848</v>
      </c>
      <c r="H5">
        <f t="shared" si="0"/>
        <v>0.12229535370298522</v>
      </c>
      <c r="I5">
        <f t="shared" si="0"/>
        <v>2.0946478054824014E-2</v>
      </c>
      <c r="J5">
        <f t="shared" si="0"/>
        <v>9.2326586826517888E-3</v>
      </c>
      <c r="K5">
        <f t="shared" si="0"/>
        <v>2.2570827466539194E-2</v>
      </c>
      <c r="L5">
        <f t="shared" si="0"/>
        <v>3.404285996432326E-5</v>
      </c>
      <c r="M5">
        <f t="shared" si="0"/>
        <v>1.7153820547921505E-4</v>
      </c>
      <c r="N5">
        <f t="shared" si="0"/>
        <v>2.6167293042462241E-3</v>
      </c>
      <c r="O5">
        <f t="shared" si="0"/>
        <v>3.3625966200359742E-3</v>
      </c>
      <c r="P5">
        <f t="shared" si="0"/>
        <v>2.3544903408846404E-7</v>
      </c>
      <c r="Q5">
        <f t="shared" si="0"/>
        <v>2.4290668750544422E-3</v>
      </c>
      <c r="R5">
        <f t="shared" si="0"/>
        <v>9.3273302478467954</v>
      </c>
      <c r="S5">
        <f t="shared" si="0"/>
        <v>0.79242365760743405</v>
      </c>
    </row>
    <row r="6" spans="1:19" x14ac:dyDescent="0.2">
      <c r="A6" s="1" t="s">
        <v>36</v>
      </c>
      <c r="B6">
        <v>1.7085454724037486E-3</v>
      </c>
      <c r="C6">
        <v>1.2791641674106913</v>
      </c>
      <c r="D6">
        <v>6.8623796015590113E-2</v>
      </c>
      <c r="E6">
        <v>3.2145597685101626E-4</v>
      </c>
      <c r="F6">
        <v>1.5844958841657133</v>
      </c>
      <c r="G6">
        <v>0.29803449952227484</v>
      </c>
      <c r="H6">
        <v>0.93550334068996477</v>
      </c>
      <c r="I6">
        <v>0.12365272979563961</v>
      </c>
      <c r="J6">
        <v>3.1441376197056913E-2</v>
      </c>
      <c r="K6">
        <v>0.10639295386276565</v>
      </c>
      <c r="L6">
        <v>5.5049746962020402E-5</v>
      </c>
      <c r="M6">
        <v>1.2512731844963494E-3</v>
      </c>
      <c r="N6">
        <v>7.1501930567545464E-3</v>
      </c>
      <c r="O6">
        <v>9.967067180677254E-3</v>
      </c>
      <c r="P6">
        <v>3.9499937384468093E-7</v>
      </c>
      <c r="Q6">
        <v>4.2708500934714637E-3</v>
      </c>
      <c r="R6">
        <v>17.84347423571986</v>
      </c>
      <c r="S6">
        <v>4.501637464607672</v>
      </c>
    </row>
    <row r="7" spans="1:19" x14ac:dyDescent="0.2">
      <c r="A7" s="1" t="s">
        <v>37</v>
      </c>
      <c r="B7">
        <f>B6*0.5</f>
        <v>8.5427273620187431E-4</v>
      </c>
      <c r="C7">
        <f t="shared" ref="C7:S7" si="1">C6*0.5</f>
        <v>0.63958208370534564</v>
      </c>
      <c r="D7">
        <f t="shared" si="1"/>
        <v>3.4311898007795057E-2</v>
      </c>
      <c r="E7">
        <f t="shared" si="1"/>
        <v>1.6072798842550813E-4</v>
      </c>
      <c r="F7">
        <f t="shared" si="1"/>
        <v>0.79224794208285665</v>
      </c>
      <c r="G7">
        <f t="shared" si="1"/>
        <v>0.14901724976113742</v>
      </c>
      <c r="H7">
        <f t="shared" si="1"/>
        <v>0.46775167034498238</v>
      </c>
      <c r="I7">
        <f t="shared" si="1"/>
        <v>6.1826364897819806E-2</v>
      </c>
      <c r="J7">
        <f t="shared" si="1"/>
        <v>1.5720688098528456E-2</v>
      </c>
      <c r="K7">
        <f t="shared" si="1"/>
        <v>5.3196476931382825E-2</v>
      </c>
      <c r="L7">
        <f t="shared" si="1"/>
        <v>2.7524873481010201E-5</v>
      </c>
      <c r="M7">
        <f t="shared" si="1"/>
        <v>6.2563659224817471E-4</v>
      </c>
      <c r="N7">
        <f t="shared" si="1"/>
        <v>3.5750965283772732E-3</v>
      </c>
      <c r="O7">
        <f t="shared" si="1"/>
        <v>4.983533590338627E-3</v>
      </c>
      <c r="P7">
        <f t="shared" si="1"/>
        <v>1.9749968692234046E-7</v>
      </c>
      <c r="Q7">
        <f t="shared" si="1"/>
        <v>2.1354250467357319E-3</v>
      </c>
      <c r="R7">
        <f t="shared" si="1"/>
        <v>8.9217371178599301</v>
      </c>
      <c r="S7">
        <f t="shared" si="1"/>
        <v>2.250818732303836</v>
      </c>
    </row>
    <row r="8" spans="1:19" x14ac:dyDescent="0.2">
      <c r="A8" s="1" t="s">
        <v>38</v>
      </c>
      <c r="B8">
        <v>11.215794858402599</v>
      </c>
      <c r="C8">
        <v>1268.0953639211318</v>
      </c>
      <c r="D8">
        <v>342.37388426674636</v>
      </c>
      <c r="E8">
        <v>2.1901046307031495</v>
      </c>
      <c r="F8">
        <v>6113.6195812709311</v>
      </c>
      <c r="G8">
        <v>3915.2860048546327</v>
      </c>
      <c r="H8">
        <v>3973.7282913942258</v>
      </c>
      <c r="I8">
        <v>335.08618099530196</v>
      </c>
      <c r="J8">
        <v>239.53389508461524</v>
      </c>
      <c r="K8">
        <v>729.56430637221058</v>
      </c>
      <c r="L8">
        <v>0.21097884828818741</v>
      </c>
      <c r="M8">
        <v>1.6764573128588687</v>
      </c>
      <c r="N8">
        <v>14.443206956921639</v>
      </c>
      <c r="O8">
        <v>14.799562686961114</v>
      </c>
      <c r="P8">
        <v>1.4813611270563887E-3</v>
      </c>
      <c r="Q8">
        <v>25.63422366034467</v>
      </c>
      <c r="R8">
        <v>256842.3717332815</v>
      </c>
      <c r="S8">
        <v>19861.326021390316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CSV8 Life Stage Impacts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2025-10-22T09:25:34Z</dcterms:created>
  <dcterms:modified xsi:type="dcterms:W3CDTF">2025-10-27T10:22:35Z</dcterms:modified>
</cp:coreProperties>
</file>