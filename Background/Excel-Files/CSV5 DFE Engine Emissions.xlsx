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Dual Fuel/"/>
    </mc:Choice>
  </mc:AlternateContent>
  <xr:revisionPtr revIDLastSave="0" documentId="13_ncr:1_{40470E5A-433D-D243-8075-BFBFDD191575}" xr6:coauthVersionLast="47" xr6:coauthVersionMax="47" xr10:uidLastSave="{00000000-0000-0000-0000-000000000000}"/>
  <bookViews>
    <workbookView xWindow="0" yWindow="500" windowWidth="28800" windowHeight="16540" xr2:uid="{8095F93A-EDD8-B64E-8036-CDCE54C7A0B5}"/>
  </bookViews>
  <sheets>
    <sheet name="CSV5 Engine Emis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 s="1"/>
  <c r="H2" i="1" s="1"/>
  <c r="G4" i="1"/>
  <c r="G5" i="1" s="1"/>
  <c r="G6" i="1" s="1"/>
  <c r="F4" i="1"/>
  <c r="F5" i="1" s="1"/>
  <c r="F6" i="1" s="1"/>
  <c r="E4" i="1"/>
  <c r="E3" i="1" s="1"/>
  <c r="E2" i="1" s="1"/>
  <c r="D4" i="1"/>
  <c r="D3" i="1" s="1"/>
  <c r="D2" i="1" s="1"/>
  <c r="C4" i="1"/>
  <c r="C3" i="1" s="1"/>
  <c r="C2" i="1" s="1"/>
  <c r="B4" i="1"/>
  <c r="B3" i="1" s="1"/>
  <c r="B2" i="1" s="1"/>
  <c r="F3" i="1"/>
  <c r="F2" i="1" s="1"/>
  <c r="H5" i="1" l="1"/>
  <c r="H6" i="1" s="1"/>
  <c r="C5" i="1"/>
  <c r="C6" i="1" s="1"/>
  <c r="E5" i="1"/>
  <c r="E6" i="1" s="1"/>
  <c r="G3" i="1"/>
  <c r="G2" i="1" s="1"/>
  <c r="B5" i="1"/>
  <c r="B6" i="1" s="1"/>
  <c r="D5" i="1"/>
  <c r="D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Sven Mauch</author>
  </authors>
  <commentList>
    <comment ref="A1" authorId="0" shapeId="0" xr:uid="{0F7E957D-C654-314F-A90B-50EDC8C466AE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Werte wurden aus beschriebener Quelle für 60% Auslastung angenommen und dann mit frei erfundenen Faktoren vergrößert/verkleinert </t>
        </r>
      </text>
    </comment>
    <comment ref="B1" authorId="0" shapeId="0" xr:uid="{AD7E23FC-1083-1244-AAFD-DB9268127CD2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 FROM EPA SOURCE: LARGE STATIONARY DIESEL AND ALL STATIONARY DUAL FUEL ENGINES</t>
        </r>
      </text>
    </comment>
    <comment ref="C1" authorId="0" shapeId="0" xr:uid="{52CEC4A4-208A-5541-9A32-3713C18BDBA8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Assumption FROM EPA SOURCE: LARGE STATIONARY DIESEL AND ALL STATIONARY DUAL FUEL ENGINES</t>
        </r>
      </text>
    </comment>
    <comment ref="D1" authorId="0" shapeId="0" xr:uid="{9EED0DCE-EA64-EB47-9022-D98F18A134E9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Antwort von Gemini in Bezug auf TA Luft Grenzwerte</t>
        </r>
      </text>
    </comment>
    <comment ref="E1" authorId="0" shapeId="0" xr:uid="{00431D99-8925-1743-B055-AEBBA305FBB0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Assumption FROM EPA SOURCE: LARGE STATIONARY DIESEL AND ALL STATIONARY DUAL FUEL ENGINES
</t>
        </r>
      </text>
    </comment>
    <comment ref="F1" authorId="0" shapeId="0" xr:uid="{68202D05-4929-9549-8712-B958E58CC811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Assumption FROM EPA SOURCE: LARGE STATIONARY DIESEL AND ALL STATIONARY DUAL FUEL ENGINES
</t>
        </r>
      </text>
    </comment>
  </commentList>
</comments>
</file>

<file path=xl/sharedStrings.xml><?xml version="1.0" encoding="utf-8"?>
<sst xmlns="http://schemas.openxmlformats.org/spreadsheetml/2006/main" count="8" uniqueCount="8">
  <si>
    <t>Engine Range [% of Load]</t>
  </si>
  <si>
    <t>Carbon Monoxide [kg CO / h]</t>
  </si>
  <si>
    <t>Nitrogene Oxydes [kg NOx / h]</t>
  </si>
  <si>
    <t>Formldehyd [kg CH2O / h]</t>
  </si>
  <si>
    <t>Methane Slop [kg CH4 / h]</t>
  </si>
  <si>
    <t>Particulate Matter [kg/h]</t>
  </si>
  <si>
    <t>Sulfur Dioxide [kg SO2 / h]</t>
  </si>
  <si>
    <t>Ammonia [kg NH3 / 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</si>
</sst>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4" fontId="4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AFCD-3442-B743-A100-B076FED06DD4}">
  <dimension ref="A1:H9"/>
  <sheetViews>
    <sheetView tabSelected="1" zoomScale="142" workbookViewId="0">
      <selection activeCell="C14" sqref="C14"/>
    </sheetView>
  </sheetViews>
  <sheetFormatPr baseColWidth="10" defaultRowHeight="16" x14ac:dyDescent="0.2"/>
  <sheetData>
    <row r="1" spans="1:8" ht="5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</v>
      </c>
      <c r="B2" s="2">
        <f>B3*0.8</f>
        <v>3.2846400000000006E-3</v>
      </c>
      <c r="C2" s="2">
        <f t="shared" ref="C2:H2" si="0">C3*0.8</f>
        <v>1.0512000000000001E-2</v>
      </c>
      <c r="D2" s="2">
        <f t="shared" si="0"/>
        <v>3.6000000000000008E-3</v>
      </c>
      <c r="E2" s="2">
        <f t="shared" si="0"/>
        <v>2.3176800000000003E-3</v>
      </c>
      <c r="F2" s="2">
        <f t="shared" si="0"/>
        <v>3.0657600000000003E-4</v>
      </c>
      <c r="G2" s="2">
        <f t="shared" si="0"/>
        <v>3.0657600000000003E-4</v>
      </c>
      <c r="H2" s="2">
        <f t="shared" si="0"/>
        <v>3.0657600000000003E-4</v>
      </c>
    </row>
    <row r="3" spans="1:8" x14ac:dyDescent="0.2">
      <c r="A3">
        <v>40</v>
      </c>
      <c r="B3" s="2">
        <f>B4*0.9</f>
        <v>4.1058000000000006E-3</v>
      </c>
      <c r="C3" s="2">
        <f t="shared" ref="C3:H3" si="1">C4*0.9</f>
        <v>1.3140000000000001E-2</v>
      </c>
      <c r="D3" s="2">
        <f t="shared" si="1"/>
        <v>4.5000000000000005E-3</v>
      </c>
      <c r="E3" s="2">
        <f t="shared" si="1"/>
        <v>2.8971000000000001E-3</v>
      </c>
      <c r="F3" s="2">
        <f t="shared" si="1"/>
        <v>3.8321999999999998E-4</v>
      </c>
      <c r="G3" s="2">
        <f t="shared" si="1"/>
        <v>3.8321999999999998E-4</v>
      </c>
      <c r="H3" s="2">
        <f t="shared" si="1"/>
        <v>3.8321999999999998E-4</v>
      </c>
    </row>
    <row r="4" spans="1:8" x14ac:dyDescent="0.2">
      <c r="A4">
        <v>60</v>
      </c>
      <c r="B4" s="2">
        <f>4.562/1000</f>
        <v>4.5620000000000001E-3</v>
      </c>
      <c r="C4" s="2">
        <f>14.6/1000</f>
        <v>1.46E-2</v>
      </c>
      <c r="D4" s="2">
        <f>5/1000</f>
        <v>5.0000000000000001E-3</v>
      </c>
      <c r="E4" s="2">
        <f>3.219/1000</f>
        <v>3.2190000000000001E-3</v>
      </c>
      <c r="F4" s="2">
        <f>0.4258/1000</f>
        <v>4.258E-4</v>
      </c>
      <c r="G4" s="2">
        <f>0.4258/1000</f>
        <v>4.258E-4</v>
      </c>
      <c r="H4" s="2">
        <f>0.4258/1000</f>
        <v>4.258E-4</v>
      </c>
    </row>
    <row r="5" spans="1:8" x14ac:dyDescent="0.2">
      <c r="A5">
        <v>80</v>
      </c>
      <c r="B5" s="2">
        <f>B4*1.1</f>
        <v>5.0182000000000004E-3</v>
      </c>
      <c r="C5" s="2">
        <f>C4*1.1</f>
        <v>1.6060000000000001E-2</v>
      </c>
      <c r="D5" s="2">
        <f t="shared" ref="D5:H5" si="2">D4*1.1</f>
        <v>5.5000000000000005E-3</v>
      </c>
      <c r="E5" s="2">
        <f t="shared" si="2"/>
        <v>3.5409000000000005E-3</v>
      </c>
      <c r="F5" s="2">
        <f t="shared" si="2"/>
        <v>4.6838000000000001E-4</v>
      </c>
      <c r="G5" s="2">
        <f t="shared" si="2"/>
        <v>4.6838000000000001E-4</v>
      </c>
      <c r="H5" s="2">
        <f t="shared" si="2"/>
        <v>4.6838000000000001E-4</v>
      </c>
    </row>
    <row r="6" spans="1:8" x14ac:dyDescent="0.2">
      <c r="A6">
        <v>100</v>
      </c>
      <c r="B6" s="2">
        <f>B5*1.2</f>
        <v>6.0218400000000005E-3</v>
      </c>
      <c r="C6" s="2">
        <f>C5*1.2</f>
        <v>1.9272000000000001E-2</v>
      </c>
      <c r="D6" s="2">
        <f t="shared" ref="D6:H6" si="3">D5*1.2</f>
        <v>6.6000000000000008E-3</v>
      </c>
      <c r="E6" s="2">
        <f t="shared" si="3"/>
        <v>4.2490800000000006E-3</v>
      </c>
      <c r="F6" s="2">
        <f t="shared" si="3"/>
        <v>5.6205600000000001E-4</v>
      </c>
      <c r="G6" s="2">
        <f t="shared" si="3"/>
        <v>5.6205600000000001E-4</v>
      </c>
      <c r="H6" s="2">
        <f t="shared" si="3"/>
        <v>5.6205600000000001E-4</v>
      </c>
    </row>
    <row r="9" spans="1:8" x14ac:dyDescent="0.2">
      <c r="B9" s="3"/>
      <c r="C9" s="3"/>
      <c r="D9" s="3"/>
      <c r="E9" s="3"/>
      <c r="F9" s="3"/>
      <c r="G9" s="3"/>
      <c r="H9" s="3"/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CSV5 Engine 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2025-10-22T09:23:52Z</dcterms:created>
  <dcterms:modified xsi:type="dcterms:W3CDTF">2025-11-03T08:31:14Z</dcterms:modified>
</cp:coreProperties>
</file>