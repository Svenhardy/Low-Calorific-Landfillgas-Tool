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CHP/"/>
    </mc:Choice>
  </mc:AlternateContent>
  <xr:revisionPtr revIDLastSave="0" documentId="8_{141C5B85-5BA5-B042-B138-020B560819BC}" xr6:coauthVersionLast="47" xr6:coauthVersionMax="47" xr10:uidLastSave="{00000000-0000-0000-0000-000000000000}"/>
  <bookViews>
    <workbookView xWindow="0" yWindow="500" windowWidth="28800" windowHeight="16540" xr2:uid="{8ABF9D68-CBC6-844E-B683-88A1CDF424D3}"/>
  </bookViews>
  <sheets>
    <sheet name="CSV21 Engine Emiss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C11" i="1"/>
  <c r="B11" i="1"/>
  <c r="H10" i="1"/>
  <c r="H11" i="1" s="1"/>
  <c r="F10" i="1"/>
  <c r="F11" i="1" s="1"/>
  <c r="E10" i="1"/>
  <c r="C10" i="1"/>
  <c r="B10" i="1"/>
  <c r="H9" i="1"/>
  <c r="H8" i="1" s="1"/>
  <c r="H7" i="1" s="1"/>
  <c r="G9" i="1"/>
  <c r="G10" i="1" s="1"/>
  <c r="G11" i="1" s="1"/>
  <c r="F9" i="1"/>
  <c r="E9" i="1"/>
  <c r="E8" i="1" s="1"/>
  <c r="E7" i="1" s="1"/>
  <c r="D9" i="1"/>
  <c r="D8" i="1" s="1"/>
  <c r="D7" i="1" s="1"/>
  <c r="C9" i="1"/>
  <c r="C8" i="1" s="1"/>
  <c r="C7" i="1" s="1"/>
  <c r="B9" i="1"/>
  <c r="B8" i="1" s="1"/>
  <c r="B7" i="1" s="1"/>
  <c r="F8" i="1"/>
  <c r="F7" i="1" s="1"/>
  <c r="H6" i="1"/>
  <c r="G6" i="1"/>
  <c r="F6" i="1"/>
  <c r="E6" i="1"/>
  <c r="D6" i="1"/>
  <c r="H5" i="1"/>
  <c r="G5" i="1"/>
  <c r="F5" i="1"/>
  <c r="E5" i="1"/>
  <c r="D5" i="1"/>
  <c r="C5" i="1"/>
  <c r="C6" i="1" s="1"/>
  <c r="H4" i="1"/>
  <c r="H3" i="1" s="1"/>
  <c r="H2" i="1" s="1"/>
  <c r="G4" i="1"/>
  <c r="G3" i="1" s="1"/>
  <c r="G2" i="1" s="1"/>
  <c r="F4" i="1"/>
  <c r="F3" i="1" s="1"/>
  <c r="F2" i="1" s="1"/>
  <c r="E4" i="1"/>
  <c r="E3" i="1" s="1"/>
  <c r="E2" i="1" s="1"/>
  <c r="D4" i="1"/>
  <c r="D3" i="1" s="1"/>
  <c r="D2" i="1" s="1"/>
  <c r="C4" i="1"/>
  <c r="C3" i="1" s="1"/>
  <c r="C2" i="1" s="1"/>
  <c r="B4" i="1"/>
  <c r="B5" i="1" s="1"/>
  <c r="B6" i="1" s="1"/>
  <c r="B3" i="1" l="1"/>
  <c r="B2" i="1" s="1"/>
  <c r="G8" i="1"/>
  <c r="G7" i="1" s="1"/>
  <c r="D10" i="1"/>
  <c r="D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Sven Mauch</author>
  </authors>
  <commentList>
    <comment ref="A1" authorId="0" shapeId="0" xr:uid="{77C0122E-E160-4B4C-B63B-0ED829D5AA40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Werte wurden aus beschriebener Quelle für 60% Auslastung angenommen und dann mit frei erfundenen Faktoren vergrößert/verkleinert </t>
        </r>
      </text>
    </comment>
    <comment ref="B1" authorId="0" shapeId="0" xr:uid="{4AC93E1E-1B0E-B549-A68C-B945AD4C4F6E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 FROM EPA SOURCE: LARGE STATIONARY DIESEL AND ALL STATIONARY DUAL FUEL ENGINES</t>
        </r>
      </text>
    </comment>
    <comment ref="C1" authorId="0" shapeId="0" xr:uid="{762E0645-E0F7-454D-9F2C-667FCB1144E5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Assumption FROM EPA SOURCE: LARGE STATIONARY DIESEL AND ALL STATIONARY DUAL FUEL ENGINES</t>
        </r>
      </text>
    </comment>
    <comment ref="D1" authorId="0" shapeId="0" xr:uid="{F5DCD982-1115-1247-9F88-BC9DAC4548C3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Antwort von Gemini in Bezug auf TA Luft Grenzwerte</t>
        </r>
      </text>
    </comment>
    <comment ref="E1" authorId="0" shapeId="0" xr:uid="{A7B7AE1F-1DA8-374B-9882-ED4C56EF4EBB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Assumption FROM EPA SOURCE: LARGE STATIONARY DIESEL AND ALL STATIONARY DUAL FUEL ENGINES
</t>
        </r>
      </text>
    </comment>
    <comment ref="F1" authorId="0" shapeId="0" xr:uid="{C33663C5-585F-3247-AF22-AEEDAD6C5531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Assumption FROM EPA SOURCE: LARGE STATIONARY DIESEL AND ALL STATIONARY DUAL FUEL ENGINES
</t>
        </r>
      </text>
    </comment>
  </commentList>
</comments>
</file>

<file path=xl/sharedStrings.xml><?xml version="1.0" encoding="utf-8"?>
<sst xmlns="http://schemas.openxmlformats.org/spreadsheetml/2006/main" count="8" uniqueCount="8">
  <si>
    <t>Engine Range [% of Load]</t>
  </si>
  <si>
    <t>Carbon Monoxide [kg CO / h]</t>
  </si>
  <si>
    <t>Nitrogene Oxydes [kg NOx / h]</t>
  </si>
  <si>
    <t>Formldehyd [kg CH2O / h]</t>
  </si>
  <si>
    <t>Methane Slop [kg CH4 / h]</t>
  </si>
  <si>
    <t>Particulate Matter [kg/h]</t>
  </si>
  <si>
    <t>Sulfur Dioxide [kg SO2 / h]</t>
  </si>
  <si>
    <t>Ammonia [kg NH3 / 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</si>
</sst>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AB53-7B08-DA47-88D8-50B465670A87}">
  <dimension ref="A1:H11"/>
  <sheetViews>
    <sheetView tabSelected="1" workbookViewId="0">
      <selection activeCell="F20" sqref="F20"/>
    </sheetView>
  </sheetViews>
  <sheetFormatPr baseColWidth="10" defaultRowHeight="16" x14ac:dyDescent="0.2"/>
  <sheetData>
    <row r="1" spans="1:8" ht="5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2">
        <v>10</v>
      </c>
      <c r="B2" s="3">
        <f>B3*0.8</f>
        <v>3.2846400000000006E-3</v>
      </c>
      <c r="C2" s="3">
        <f t="shared" ref="C2:H2" si="0">C3*0.8</f>
        <v>1.0512000000000001E-2</v>
      </c>
      <c r="D2" s="3">
        <f t="shared" si="0"/>
        <v>3.6000000000000008E-3</v>
      </c>
      <c r="E2" s="3">
        <f t="shared" si="0"/>
        <v>2.3176800000000003E-3</v>
      </c>
      <c r="F2" s="3">
        <f t="shared" si="0"/>
        <v>3.0657600000000003E-4</v>
      </c>
      <c r="G2" s="3">
        <f t="shared" si="0"/>
        <v>3.0657600000000003E-4</v>
      </c>
      <c r="H2" s="3">
        <f t="shared" si="0"/>
        <v>3.0657600000000003E-4</v>
      </c>
    </row>
    <row r="3" spans="1:8" x14ac:dyDescent="0.2">
      <c r="A3" s="2">
        <v>20</v>
      </c>
      <c r="B3" s="3">
        <f>B4*0.9</f>
        <v>4.1058000000000006E-3</v>
      </c>
      <c r="C3" s="3">
        <f t="shared" ref="C3:H3" si="1">C4*0.9</f>
        <v>1.3140000000000001E-2</v>
      </c>
      <c r="D3" s="3">
        <f t="shared" si="1"/>
        <v>4.5000000000000005E-3</v>
      </c>
      <c r="E3" s="3">
        <f t="shared" si="1"/>
        <v>2.8971000000000001E-3</v>
      </c>
      <c r="F3" s="3">
        <f t="shared" si="1"/>
        <v>3.8321999999999998E-4</v>
      </c>
      <c r="G3" s="3">
        <f t="shared" si="1"/>
        <v>3.8321999999999998E-4</v>
      </c>
      <c r="H3" s="3">
        <f t="shared" si="1"/>
        <v>3.8321999999999998E-4</v>
      </c>
    </row>
    <row r="4" spans="1:8" x14ac:dyDescent="0.2">
      <c r="A4" s="2">
        <v>30</v>
      </c>
      <c r="B4" s="3">
        <f>4.562/1000</f>
        <v>4.5620000000000001E-3</v>
      </c>
      <c r="C4" s="3">
        <f>14.6/1000</f>
        <v>1.46E-2</v>
      </c>
      <c r="D4" s="3">
        <f>5/1000</f>
        <v>5.0000000000000001E-3</v>
      </c>
      <c r="E4" s="3">
        <f>3.219/1000</f>
        <v>3.2190000000000001E-3</v>
      </c>
      <c r="F4" s="3">
        <f>0.4258/1000</f>
        <v>4.258E-4</v>
      </c>
      <c r="G4" s="3">
        <f>0.4258/1000</f>
        <v>4.258E-4</v>
      </c>
      <c r="H4" s="3">
        <f>0.4258/1000</f>
        <v>4.258E-4</v>
      </c>
    </row>
    <row r="5" spans="1:8" x14ac:dyDescent="0.2">
      <c r="A5" s="2">
        <v>40</v>
      </c>
      <c r="B5" s="3">
        <f>B4*1.1</f>
        <v>5.0182000000000004E-3</v>
      </c>
      <c r="C5" s="3">
        <f>C4*1.1</f>
        <v>1.6060000000000001E-2</v>
      </c>
      <c r="D5" s="3">
        <f t="shared" ref="D5:H5" si="2">D4*1.1</f>
        <v>5.5000000000000005E-3</v>
      </c>
      <c r="E5" s="3">
        <f t="shared" si="2"/>
        <v>3.5409000000000005E-3</v>
      </c>
      <c r="F5" s="3">
        <f t="shared" si="2"/>
        <v>4.6838000000000001E-4</v>
      </c>
      <c r="G5" s="3">
        <f t="shared" si="2"/>
        <v>4.6838000000000001E-4</v>
      </c>
      <c r="H5" s="3">
        <f t="shared" si="2"/>
        <v>4.6838000000000001E-4</v>
      </c>
    </row>
    <row r="6" spans="1:8" x14ac:dyDescent="0.2">
      <c r="A6" s="2">
        <v>50</v>
      </c>
      <c r="B6" s="3">
        <f>B5*1.2</f>
        <v>6.0218400000000005E-3</v>
      </c>
      <c r="C6" s="3">
        <f>C5*1.2</f>
        <v>1.9272000000000001E-2</v>
      </c>
      <c r="D6" s="3">
        <f t="shared" ref="D6:H6" si="3">D5*1.2</f>
        <v>6.6000000000000008E-3</v>
      </c>
      <c r="E6" s="3">
        <f t="shared" si="3"/>
        <v>4.2490800000000006E-3</v>
      </c>
      <c r="F6" s="3">
        <f t="shared" si="3"/>
        <v>5.6205600000000001E-4</v>
      </c>
      <c r="G6" s="3">
        <f t="shared" si="3"/>
        <v>5.6205600000000001E-4</v>
      </c>
      <c r="H6" s="3">
        <f t="shared" si="3"/>
        <v>5.6205600000000001E-4</v>
      </c>
    </row>
    <row r="7" spans="1:8" x14ac:dyDescent="0.2">
      <c r="A7" s="2">
        <v>60</v>
      </c>
      <c r="B7" s="3">
        <f>B8*0.8</f>
        <v>3.2846400000000006E-3</v>
      </c>
      <c r="C7" s="3">
        <f t="shared" ref="C7:H7" si="4">C8*0.8</f>
        <v>1.0512000000000001E-2</v>
      </c>
      <c r="D7" s="3">
        <f t="shared" si="4"/>
        <v>3.6000000000000008E-3</v>
      </c>
      <c r="E7" s="3">
        <f t="shared" si="4"/>
        <v>2.3176800000000003E-3</v>
      </c>
      <c r="F7" s="3">
        <f t="shared" si="4"/>
        <v>3.0657600000000003E-4</v>
      </c>
      <c r="G7" s="3">
        <f t="shared" si="4"/>
        <v>3.0657600000000003E-4</v>
      </c>
      <c r="H7" s="3">
        <f t="shared" si="4"/>
        <v>3.0657600000000003E-4</v>
      </c>
    </row>
    <row r="8" spans="1:8" x14ac:dyDescent="0.2">
      <c r="A8" s="2">
        <v>70</v>
      </c>
      <c r="B8" s="3">
        <f>B9*0.9</f>
        <v>4.1058000000000006E-3</v>
      </c>
      <c r="C8" s="3">
        <f t="shared" ref="C8:H8" si="5">C9*0.9</f>
        <v>1.3140000000000001E-2</v>
      </c>
      <c r="D8" s="3">
        <f t="shared" si="5"/>
        <v>4.5000000000000005E-3</v>
      </c>
      <c r="E8" s="3">
        <f t="shared" si="5"/>
        <v>2.8971000000000001E-3</v>
      </c>
      <c r="F8" s="3">
        <f t="shared" si="5"/>
        <v>3.8321999999999998E-4</v>
      </c>
      <c r="G8" s="3">
        <f t="shared" si="5"/>
        <v>3.8321999999999998E-4</v>
      </c>
      <c r="H8" s="3">
        <f t="shared" si="5"/>
        <v>3.8321999999999998E-4</v>
      </c>
    </row>
    <row r="9" spans="1:8" x14ac:dyDescent="0.2">
      <c r="A9" s="2">
        <v>80</v>
      </c>
      <c r="B9" s="3">
        <f>4.562/1000</f>
        <v>4.5620000000000001E-3</v>
      </c>
      <c r="C9" s="3">
        <f>14.6/1000</f>
        <v>1.46E-2</v>
      </c>
      <c r="D9" s="3">
        <f>5/1000</f>
        <v>5.0000000000000001E-3</v>
      </c>
      <c r="E9" s="3">
        <f>3.219/1000</f>
        <v>3.2190000000000001E-3</v>
      </c>
      <c r="F9" s="3">
        <f>0.4258/1000</f>
        <v>4.258E-4</v>
      </c>
      <c r="G9" s="3">
        <f>0.4258/1000</f>
        <v>4.258E-4</v>
      </c>
      <c r="H9" s="3">
        <f>0.4258/1000</f>
        <v>4.258E-4</v>
      </c>
    </row>
    <row r="10" spans="1:8" x14ac:dyDescent="0.2">
      <c r="A10" s="2">
        <v>90</v>
      </c>
      <c r="B10" s="3">
        <f>B9*1.1</f>
        <v>5.0182000000000004E-3</v>
      </c>
      <c r="C10" s="3">
        <f>C9*1.1</f>
        <v>1.6060000000000001E-2</v>
      </c>
      <c r="D10" s="3">
        <f t="shared" ref="D10:H10" si="6">D9*1.1</f>
        <v>5.5000000000000005E-3</v>
      </c>
      <c r="E10" s="3">
        <f t="shared" si="6"/>
        <v>3.5409000000000005E-3</v>
      </c>
      <c r="F10" s="3">
        <f t="shared" si="6"/>
        <v>4.6838000000000001E-4</v>
      </c>
      <c r="G10" s="3">
        <f t="shared" si="6"/>
        <v>4.6838000000000001E-4</v>
      </c>
      <c r="H10" s="3">
        <f t="shared" si="6"/>
        <v>4.6838000000000001E-4</v>
      </c>
    </row>
    <row r="11" spans="1:8" x14ac:dyDescent="0.2">
      <c r="A11" s="2">
        <v>100</v>
      </c>
      <c r="B11" s="3">
        <f>B10*1.2</f>
        <v>6.0218400000000005E-3</v>
      </c>
      <c r="C11" s="3">
        <f>C10*1.2</f>
        <v>1.9272000000000001E-2</v>
      </c>
      <c r="D11" s="3">
        <f t="shared" ref="D11:H11" si="7">D10*1.2</f>
        <v>6.6000000000000008E-3</v>
      </c>
      <c r="E11" s="3">
        <f t="shared" si="7"/>
        <v>4.2490800000000006E-3</v>
      </c>
      <c r="F11" s="3">
        <f t="shared" si="7"/>
        <v>5.6205600000000001E-4</v>
      </c>
      <c r="G11" s="3">
        <f t="shared" si="7"/>
        <v>5.6205600000000001E-4</v>
      </c>
      <c r="H11" s="3">
        <f t="shared" si="7"/>
        <v>5.6205600000000001E-4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CSV21 Engine 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2025-10-22T09:39:46Z</dcterms:created>
  <dcterms:modified xsi:type="dcterms:W3CDTF">2025-10-22T09:40:07Z</dcterms:modified>
</cp:coreProperties>
</file>